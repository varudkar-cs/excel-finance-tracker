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5f20b075e9da98/Documents/Excel Files/"/>
    </mc:Choice>
  </mc:AlternateContent>
  <xr:revisionPtr revIDLastSave="0" documentId="14_{F64EE88D-A92F-BA4F-A952-80C9CBEF76DB}" xr6:coauthVersionLast="47" xr6:coauthVersionMax="47" xr10:uidLastSave="{00000000-0000-0000-0000-000000000000}"/>
  <bookViews>
    <workbookView xWindow="12480" yWindow="760" windowWidth="15420" windowHeight="15360" activeTab="1" xr2:uid="{170EC21B-596C-E543-91D2-A6DCC7FB041D}"/>
  </bookViews>
  <sheets>
    <sheet name="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1" i="2"/>
  <c r="B2" i="2" s="1"/>
  <c r="D12" i="1"/>
</calcChain>
</file>

<file path=xl/sharedStrings.xml><?xml version="1.0" encoding="utf-8"?>
<sst xmlns="http://schemas.openxmlformats.org/spreadsheetml/2006/main" count="34" uniqueCount="25">
  <si>
    <t>Date</t>
  </si>
  <si>
    <t>Category</t>
  </si>
  <si>
    <t>Description</t>
  </si>
  <si>
    <t>Amount</t>
  </si>
  <si>
    <t>Food</t>
  </si>
  <si>
    <t>Travel</t>
  </si>
  <si>
    <t>Shopping</t>
  </si>
  <si>
    <t>Lunch</t>
  </si>
  <si>
    <t>Auto</t>
  </si>
  <si>
    <t>Clothes</t>
  </si>
  <si>
    <t>Snacks</t>
  </si>
  <si>
    <t>Tour</t>
  </si>
  <si>
    <t>Museum</t>
  </si>
  <si>
    <t xml:space="preserve">Travel </t>
  </si>
  <si>
    <t>Bus</t>
  </si>
  <si>
    <t>Subscription</t>
  </si>
  <si>
    <t>Gym</t>
  </si>
  <si>
    <t xml:space="preserve">Food </t>
  </si>
  <si>
    <t>Pizza Restaurant</t>
  </si>
  <si>
    <t>Scented Candles</t>
  </si>
  <si>
    <t>Internet</t>
  </si>
  <si>
    <t>Total Spending</t>
  </si>
  <si>
    <t>High Spending Status</t>
  </si>
  <si>
    <t>Total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</si>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</sst>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color theme="3"/>
      <name val="Aptos Narrow"/>
      <scheme val="minor"/>
    </font>
    <font>
      <b/>
      <sz val="13"/>
      <color theme="3"/>
      <name val="Aptos Narrow"/>
      <scheme val="minor"/>
    </font>
    <font>
      <sz val="11"/>
      <color theme="3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</cellStyleXfs>
  <cellXfs count="11">
    <xf numFmtId="0" fontId="0" fillId="0" borderId="0" xfId="0"/>
    <xf numFmtId="0" fontId="2" fillId="3" borderId="0" xfId="3"/>
    <xf numFmtId="0" fontId="4" fillId="0" borderId="2" xfId="2"/>
    <xf numFmtId="0" fontId="5" fillId="4" borderId="0" xfId="4"/>
    <xf numFmtId="0" fontId="6" fillId="2" borderId="1" xfId="1" applyFont="1" applyFill="1"/>
    <xf numFmtId="0" fontId="7" fillId="2" borderId="1" xfId="1" applyFont="1" applyFill="1"/>
    <xf numFmtId="0" fontId="1" fillId="3" borderId="0" xfId="3" applyFont="1"/>
    <xf numFmtId="16" fontId="8" fillId="0" borderId="2" xfId="2" applyNumberFormat="1" applyFont="1"/>
    <xf numFmtId="0" fontId="8" fillId="0" borderId="2" xfId="2" applyFont="1"/>
    <xf numFmtId="16" fontId="8" fillId="0" borderId="0" xfId="2" applyNumberFormat="1" applyFont="1" applyBorder="1"/>
    <xf numFmtId="0" fontId="8" fillId="0" borderId="0" xfId="2" applyFont="1" applyBorder="1"/>
  </cellXfs>
  <cellStyles count="5">
    <cellStyle name="20% - Accent1" xfId="3" builtinId="30"/>
    <cellStyle name="Accent4" xfId="4" builtinId="41"/>
    <cellStyle name="Heading 2" xfId="1" builtinId="17"/>
    <cellStyle name="Heading 3" xfId="2" builtinId="18"/>
    <cellStyle name="Normal" xfId="0" builtinId="0"/>
  </cellStyles>
  <dxfs count="7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21" formatCode="dd\-mmm"/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Spending</a:t>
            </a:r>
            <a:r>
              <a:rPr lang="en-US" b="1" baseline="0"/>
              <a:t>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Summary!$B$5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B7-6F47-B604-7B35A6A0D81F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B7-6F47-B604-7B35A6A0D81F}"/>
              </c:ext>
            </c:extLst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B7-6F47-B604-7B35A6A0D81F}"/>
              </c:ext>
            </c:extLst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B7-6F47-B604-7B35A6A0D81F}"/>
              </c:ext>
            </c:extLst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B7-6F47-B604-7B35A6A0D81F}"/>
              </c:ext>
            </c:extLst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B7-6F47-B604-7B35A6A0D81F}"/>
              </c:ext>
            </c:extLst>
          </c:dPt>
          <c:cat>
            <c:strRef>
              <c:f>Summary!$A$6:$A$11</c:f>
              <c:strCache>
                <c:ptCount val="6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Tour</c:v>
                </c:pt>
                <c:pt idx="4">
                  <c:v>Subscription</c:v>
                </c:pt>
                <c:pt idx="5">
                  <c:v>Utilities</c:v>
                </c:pt>
              </c:strCache>
            </c:strRef>
          </c:cat>
          <c:val>
            <c:numRef>
              <c:f>Summary!$B$6:$B$11</c:f>
              <c:numCache>
                <c:formatCode>General</c:formatCode>
                <c:ptCount val="6"/>
                <c:pt idx="0">
                  <c:v>350</c:v>
                </c:pt>
                <c:pt idx="1">
                  <c:v>100</c:v>
                </c:pt>
                <c:pt idx="2">
                  <c:v>1900</c:v>
                </c:pt>
                <c:pt idx="3">
                  <c:v>600</c:v>
                </c:pt>
                <c:pt idx="4">
                  <c:v>400</c:v>
                </c:pt>
                <c:pt idx="5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8-1549-B43F-CCA9DAC4C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12700</xdr:rowOff>
    </xdr:from>
    <xdr:to>
      <xdr:col>7</xdr:col>
      <xdr:colOff>444500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E32EBC-E155-99A0-8E05-5168E5AB5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6932F-3338-F940-A7D0-21C6326FEE4A}" name="Table1" displayName="Table1" ref="A1:D11" totalsRowShown="0" dataDxfId="0" headerRowBorderDxfId="5" tableBorderDxfId="6" headerRowCellStyle="Heading 3" dataCellStyle="Heading 3">
  <autoFilter ref="A1:D11" xr:uid="{9036932F-3338-F940-A7D0-21C6326FEE4A}"/>
  <tableColumns count="4">
    <tableColumn id="1" xr3:uid="{A606DE37-5A72-E142-A635-434E814AA999}" name="Date" dataDxfId="4" dataCellStyle="Heading 3"/>
    <tableColumn id="2" xr3:uid="{48B9D1C3-69B7-CF48-B0E0-D396D31FFAF0}" name="Category" dataDxfId="3" dataCellStyle="Heading 3"/>
    <tableColumn id="3" xr3:uid="{336CD496-65A5-8C48-82D8-DEE861174B8B}" name="Description" dataDxfId="2" dataCellStyle="Heading 3"/>
    <tableColumn id="4" xr3:uid="{FBF4F825-6554-B44C-A78B-16B1ECC75269}" name="Amount" dataDxfId="1" dataCellStyle="Heading 3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052D-6EBE-0742-9BB5-C48865499C6F}">
  <dimension ref="A1:D12"/>
  <sheetViews>
    <sheetView workbookViewId="0">
      <selection activeCell="B18" sqref="B18"/>
    </sheetView>
  </sheetViews>
  <sheetFormatPr baseColWidth="10" defaultRowHeight="16" x14ac:dyDescent="0.2"/>
  <cols>
    <col min="1" max="1" width="11.83203125" customWidth="1"/>
    <col min="2" max="2" width="12.1640625" customWidth="1"/>
    <col min="3" max="3" width="16" customWidth="1"/>
  </cols>
  <sheetData>
    <row r="1" spans="1:4" ht="17" thickBo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7" thickBot="1" x14ac:dyDescent="0.25">
      <c r="A2" s="7">
        <v>46113</v>
      </c>
      <c r="B2" s="8" t="s">
        <v>4</v>
      </c>
      <c r="C2" s="8" t="s">
        <v>7</v>
      </c>
      <c r="D2" s="8">
        <v>200</v>
      </c>
    </row>
    <row r="3" spans="1:4" ht="17" thickBot="1" x14ac:dyDescent="0.25">
      <c r="A3" s="7">
        <v>46114</v>
      </c>
      <c r="B3" s="8" t="s">
        <v>5</v>
      </c>
      <c r="C3" s="8" t="s">
        <v>8</v>
      </c>
      <c r="D3" s="8">
        <v>100</v>
      </c>
    </row>
    <row r="4" spans="1:4" ht="17" thickBot="1" x14ac:dyDescent="0.25">
      <c r="A4" s="7">
        <v>46115</v>
      </c>
      <c r="B4" s="8" t="s">
        <v>6</v>
      </c>
      <c r="C4" s="8" t="s">
        <v>9</v>
      </c>
      <c r="D4" s="8">
        <v>1500</v>
      </c>
    </row>
    <row r="5" spans="1:4" ht="17" thickBot="1" x14ac:dyDescent="0.25">
      <c r="A5" s="7">
        <v>46116</v>
      </c>
      <c r="B5" s="8" t="s">
        <v>4</v>
      </c>
      <c r="C5" s="8" t="s">
        <v>10</v>
      </c>
      <c r="D5" s="8">
        <v>150</v>
      </c>
    </row>
    <row r="6" spans="1:4" ht="17" thickBot="1" x14ac:dyDescent="0.25">
      <c r="A6" s="7">
        <v>46117</v>
      </c>
      <c r="B6" s="8" t="s">
        <v>11</v>
      </c>
      <c r="C6" s="8" t="s">
        <v>12</v>
      </c>
      <c r="D6" s="8">
        <v>600</v>
      </c>
    </row>
    <row r="7" spans="1:4" ht="17" thickBot="1" x14ac:dyDescent="0.25">
      <c r="A7" s="7">
        <v>46118</v>
      </c>
      <c r="B7" s="8" t="s">
        <v>13</v>
      </c>
      <c r="C7" s="8" t="s">
        <v>14</v>
      </c>
      <c r="D7" s="8">
        <v>50</v>
      </c>
    </row>
    <row r="8" spans="1:4" ht="17" thickBot="1" x14ac:dyDescent="0.25">
      <c r="A8" s="7">
        <v>46119</v>
      </c>
      <c r="B8" s="8" t="s">
        <v>15</v>
      </c>
      <c r="C8" s="8" t="s">
        <v>16</v>
      </c>
      <c r="D8" s="8">
        <v>400</v>
      </c>
    </row>
    <row r="9" spans="1:4" ht="17" thickBot="1" x14ac:dyDescent="0.25">
      <c r="A9" s="7">
        <v>46120</v>
      </c>
      <c r="B9" s="8" t="s">
        <v>17</v>
      </c>
      <c r="C9" s="8" t="s">
        <v>18</v>
      </c>
      <c r="D9" s="8">
        <v>800</v>
      </c>
    </row>
    <row r="10" spans="1:4" ht="17" thickBot="1" x14ac:dyDescent="0.25">
      <c r="A10" s="7">
        <v>46121</v>
      </c>
      <c r="B10" s="8" t="s">
        <v>6</v>
      </c>
      <c r="C10" s="8" t="s">
        <v>19</v>
      </c>
      <c r="D10" s="8">
        <v>400</v>
      </c>
    </row>
    <row r="11" spans="1:4" x14ac:dyDescent="0.2">
      <c r="A11" s="9">
        <v>46122</v>
      </c>
      <c r="B11" s="10" t="s">
        <v>24</v>
      </c>
      <c r="C11" s="10" t="s">
        <v>20</v>
      </c>
      <c r="D11" s="10">
        <v>1200</v>
      </c>
    </row>
    <row r="12" spans="1:4" x14ac:dyDescent="0.2">
      <c r="D12" s="3">
        <f>SUM(D2:D10)</f>
        <v>4200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12CE-B977-1A46-9797-0DEAB6CD3BA2}">
  <dimension ref="A1:B11"/>
  <sheetViews>
    <sheetView tabSelected="1" workbookViewId="0">
      <selection activeCell="F4" sqref="F4"/>
    </sheetView>
  </sheetViews>
  <sheetFormatPr baseColWidth="10" defaultRowHeight="16" x14ac:dyDescent="0.2"/>
  <cols>
    <col min="1" max="1" width="19.83203125" customWidth="1"/>
    <col min="2" max="2" width="14" customWidth="1"/>
  </cols>
  <sheetData>
    <row r="1" spans="1:2" ht="19" thickBot="1" x14ac:dyDescent="0.3">
      <c r="A1" s="5" t="s">
        <v>21</v>
      </c>
      <c r="B1" s="4">
        <f>SUM(Data!D2:D10)</f>
        <v>4200</v>
      </c>
    </row>
    <row r="2" spans="1:2" ht="20" thickTop="1" thickBot="1" x14ac:dyDescent="0.3">
      <c r="A2" s="5" t="s">
        <v>22</v>
      </c>
      <c r="B2" s="4" t="str">
        <f>IF(B1&gt;2000,"High Spending","Normal")</f>
        <v>High Spending</v>
      </c>
    </row>
    <row r="3" spans="1:2" ht="17" thickTop="1" x14ac:dyDescent="0.2"/>
    <row r="5" spans="1:2" x14ac:dyDescent="0.2">
      <c r="A5" s="6" t="s">
        <v>1</v>
      </c>
      <c r="B5" s="6" t="s">
        <v>23</v>
      </c>
    </row>
    <row r="6" spans="1:2" x14ac:dyDescent="0.2">
      <c r="A6" s="1" t="s">
        <v>4</v>
      </c>
      <c r="B6" s="1">
        <f>SUMIF(Data!B:B, A6, Data!D:D)</f>
        <v>350</v>
      </c>
    </row>
    <row r="7" spans="1:2" x14ac:dyDescent="0.2">
      <c r="A7" s="1" t="s">
        <v>5</v>
      </c>
      <c r="B7" s="1">
        <f>SUMIF(Data!B:B, A7, Data!D:D)</f>
        <v>100</v>
      </c>
    </row>
    <row r="8" spans="1:2" x14ac:dyDescent="0.2">
      <c r="A8" s="1" t="s">
        <v>6</v>
      </c>
      <c r="B8" s="1">
        <f>SUMIF(Data!B:B, A8, Data!D:D)</f>
        <v>1900</v>
      </c>
    </row>
    <row r="9" spans="1:2" x14ac:dyDescent="0.2">
      <c r="A9" s="1" t="s">
        <v>11</v>
      </c>
      <c r="B9" s="1">
        <f>SUMIF(Data!B:B, A9, Data!D:D)</f>
        <v>600</v>
      </c>
    </row>
    <row r="10" spans="1:2" x14ac:dyDescent="0.2">
      <c r="A10" s="1" t="s">
        <v>15</v>
      </c>
      <c r="B10" s="1">
        <f>SUMIF(Data!B:B, A10, Data!D:D)</f>
        <v>400</v>
      </c>
    </row>
    <row r="11" spans="1:2" x14ac:dyDescent="0.2">
      <c r="A11" s="1" t="s">
        <v>24</v>
      </c>
      <c r="B11" s="1">
        <f>SUMIF(Data!B:B, A11, Data!D:D)</f>
        <v>1200</v>
      </c>
    </row>
  </sheetData>
  <conditionalFormatting sqref="A5:B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{2134997D-43B7-1548-B2A9-927713D4FD24}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34997D-43B7-1548-B2A9-927713D4F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A5:B11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vedav.space@outlook.com</dc:creator>
  <cp:lastModifiedBy>vedav.space@outlook.com</cp:lastModifiedBy>
  <dcterms:created xsi:type="dcterms:W3CDTF">2026-04-24T16:23:10Z</dcterms:created>
  <dcterms:modified xsi:type="dcterms:W3CDTF">2026-04-24T17:27:33Z</dcterms:modified>
</cp:coreProperties>
</file>